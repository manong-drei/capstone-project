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963c8768d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tion Point Analysis" sheetId="1" r:id="R4c4efee15d0f4b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sz val="11"/>
      <x:color rgb="FF000000"/>
      <x:name val="Times New Roman"/>
    </x:font>
    <x:font>
      <x:b/>
      <x:sz val="14"/>
      <x:color rgb="FF000000"/>
      <x:name val="Times New Roman"/>
    </x:font>
    <x:font>
      <x:b/>
      <x:sz val="12"/>
      <x:color rgb="FF000000"/>
      <x:name val="Times New Roman"/>
    </x:font>
    <x:font>
      <x:sz val="11"/>
      <x:color rgb="FF000000"/>
      <x:name val="Times New Roman"/>
    </x:font>
    <x:font>
      <x:b/>
      <x:sz val="11"/>
      <x:color rgb="FF000000"/>
      <x:name val="Times New Roman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11"/>
      <x:color rgb="FF000000"/>
      <x:name val="Times New Roman"/>
    </x:font>
    <x:font>
      <x:sz val="10"/>
      <x:color rgb="FF333333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EEEEE"/>
      </x:patternFill>
    </x:fill>
    <x:fill>
      <x:patternFill patternType="solid">
        <x:fgColor rgb="FFF7F7F7"/>
      </x:patternFill>
    </x:fill>
    <x:fill>
      <x:patternFill patternType="solid">
        <x:fgColor rgb="FFDDDDDD"/>
      </x:patternFill>
    </x:fill>
    <x:fill>
      <x:patternFill patternType="solid">
        <x:fgColor rgb="FFFFFFFF"/>
      </x:patternFill>
    </x:fill>
    <x:fill>
      <x:patternFill patternType="solid">
        <x:fgColor rgb="FFEEEEEE"/>
      </x:patternFill>
    </x:fill>
    <x:fill>
      <x:patternFill patternType="solid">
        <x:fgColor rgb="FFF7F7F7"/>
      </x:patternFill>
    </x:fill>
    <x:fill>
      <x:patternFill patternType="solid">
        <x:fgColor rgb="FFDDDDDD"/>
      </x:patternFill>
    </x:fill>
  </x:fills>
  <x:borders count="2">
    <x:border>
      <x:left/>
      <x:right/>
      <x:top/>
      <x:bottom/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left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left" vertical="center"/>
    </x:xf>
    <x:xf numFmtId="200" fontId="5" fillId="3" borderId="1" xfId="0" applyNumberFormat="1" applyFont="1" applyFill="1" applyBorder="1" applyAlignment="1">
      <x:alignment horizontal="center" vertical="center"/>
    </x:xf>
    <x:xf numFmtId="200" fontId="5" fillId="3" borderId="1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 applyAlignment="1">
      <x:alignment horizontal="left" vertical="center"/>
    </x:xf>
    <x:xf numFmtId="200" fontId="5" fillId="2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left" vertical="center"/>
    </x:xf>
    <x:xf numFmtId="200" fontId="5" fillId="4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left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horizontal="left" vertical="center"/>
    </x:xf>
    <x:xf numFmtId="0" fontId="9" fillId="6" borderId="1" xfId="0" applyNumberFormat="1" applyFont="1" applyFill="1" applyBorder="1" applyAlignment="1">
      <x:alignment horizontal="center" vertical="center"/>
    </x:xf>
    <x:xf numFmtId="200" fontId="9" fillId="6" borderId="1" xfId="0" applyNumberFormat="1" applyFont="1" applyFill="1" applyBorder="1" applyAlignment="1">
      <x:alignment horizontal="center" vertical="center"/>
    </x:xf>
    <x:xf numFmtId="0" fontId="9" fillId="7" borderId="1" xfId="0" applyNumberFormat="1" applyFont="1" applyFill="1" applyBorder="1" applyAlignment="1">
      <x:alignment horizontal="left" vertical="center"/>
    </x:xf>
    <x:xf numFmtId="200" fontId="9" fillId="7" borderId="1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left" vertical="center"/>
    </x:xf>
    <x:xf numFmtId="200" fontId="5" fillId="7" borderId="1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left" vertical="center" wrapText="1"/>
    </x:xf>
    <x:xf numFmtId="200" fontId="5" fillId="7" borderId="1" xfId="0" applyNumberFormat="1" applyFont="1" applyFill="1" applyBorder="1" applyAlignment="1">
      <x:alignment horizontal="center" vertical="center" wrapText="1"/>
    </x:xf>
    <x:xf numFmtId="200" fontId="5" fillId="7" borderId="1" xfId="0" applyNumberFormat="1" applyFont="1" applyFill="1" applyBorder="1" applyAlignment="1">
      <x:alignment horizontal="left" vertical="center" wrapText="1"/>
    </x:xf>
    <x:xf numFmtId="0" fontId="5" fillId="6" borderId="1" xfId="0" applyNumberFormat="1" applyFont="1" applyFill="1" applyBorder="1" applyAlignment="1">
      <x:alignment horizontal="left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left" vertical="center"/>
    </x:xf>
    <x:xf numFmtId="200" fontId="5" fillId="8" borderId="1" xfId="0" applyNumberFormat="1" applyFont="1" applyFill="1" applyBorder="1" applyAlignment="1">
      <x:alignment horizontal="center" vertical="center"/>
    </x:xf>
    <x:xf numFmtId="0" fontId="9" fillId="9" borderId="1" xfId="0" applyNumberFormat="1" applyFont="1" applyFill="1" applyBorder="1" applyAlignment="1">
      <x:alignment horizontal="left" vertical="center"/>
    </x:xf>
    <x:xf numFmtId="200" fontId="9" fillId="9" borderId="1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left" vertical="center"/>
    </x:xf>
    <x:xf numFmtId="200" fontId="5" fillId="9" borderId="1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left" vertical="center" wrapText="1"/>
    </x:xf>
    <x:xf numFmtId="200" fontId="5" fillId="9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6d4fa83054125" /><Relationship Type="http://schemas.openxmlformats.org/officeDocument/2006/relationships/theme" Target="/xl/theme/theme1.xml" Id="R559988b678754d81" /><Relationship Type="http://schemas.openxmlformats.org/officeDocument/2006/relationships/sharedStrings" Target="/xl/sharedStrings.xml" Id="R7af15d83911d4b3e" /><Relationship Type="http://schemas.openxmlformats.org/officeDocument/2006/relationships/worksheet" Target="/xl/worksheets/sheet1.xml" Id="R4c4efee15d0f4b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3" hidden="0" customWidth="1"/>
    <x:col min="2" max="2" width="19" hidden="0" customWidth="1"/>
    <x:col min="3" max="3" width="17" hidden="0" customWidth="1"/>
    <x:col min="4" max="4" width="19" hidden="0" customWidth="1"/>
    <x:col min="5" max="5" width="16" hidden="0" customWidth="1"/>
    <x:col min="6" max="6" width="20" hidden="0" customWidth="1"/>
    <x:col min="7" max="7" width="19" hidden="0" customWidth="1"/>
    <x:col min="8" max="8" width="3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25" customHeight="1">
      <x:c r="A1" s="5" t="str">
        <x:v>FUNCTION POINT ANALYSIS</x:v>
      </x:c>
      <x:c r="B1" s="5"/>
      <x:c r="C1" s="5"/>
      <x:c r="D1" s="5"/>
      <x:c r="E1" s="5"/>
      <x:c r="F1" s="5"/>
      <x:c r="G1" s="5"/>
      <x:c r="I1" s="29"/>
      <x:c r="J1" s="29"/>
      <x:c r="K1" s="29"/>
      <x:c r="L1" s="29"/>
      <x:c r="M1" s="29"/>
      <x:c r="N1" s="29"/>
    </x:row>
    <x:row r="2" ht="25" customHeight="1">
      <x:c r="A2" s="6" t="str">
        <x:v>E-KALUSUGAN SYSTEM</x:v>
      </x:c>
      <x:c r="B2" s="6"/>
      <x:c r="C2" s="6"/>
      <x:c r="D2" s="6"/>
      <x:c r="E2" s="6"/>
      <x:c r="F2" s="6"/>
      <x:c r="G2" s="6"/>
      <x:c r="I2" s="29"/>
      <x:c r="J2" s="29"/>
      <x:c r="K2" s="29"/>
      <x:c r="L2" s="29"/>
      <x:c r="M2" s="29"/>
      <x:c r="N2" s="29"/>
    </x:row>
    <x:row r="3" ht="25" customHeight="1">
      <x:c r="A3" s="7" t="str">
        <x:v>Estimated man-days across six project phases</x:v>
      </x:c>
      <x:c r="B3" s="7"/>
      <x:c r="C3" s="7"/>
      <x:c r="D3" s="7"/>
      <x:c r="E3" s="7"/>
      <x:c r="F3" s="7"/>
      <x:c r="G3" s="7"/>
      <x:c r="I3" s="29"/>
      <x:c r="J3" s="29"/>
      <x:c r="K3" s="29"/>
      <x:c r="L3" s="29"/>
      <x:c r="M3" s="29"/>
      <x:c r="N3" s="29"/>
    </x:row>
    <x:row r="4" ht="8" customHeight="1">
      <x:c r="A4" s="3"/>
      <x:c r="B4" s="3"/>
      <x:c r="C4" s="3"/>
      <x:c r="D4" s="3"/>
      <x:c r="E4" s="3"/>
      <x:c r="F4" s="3"/>
      <x:c r="G4" s="3"/>
      <x:c r="I4" s="29"/>
      <x:c r="J4" s="29"/>
      <x:c r="K4" s="29"/>
      <x:c r="L4" s="29"/>
      <x:c r="M4" s="29"/>
      <x:c r="N4" s="29"/>
    </x:row>
    <x:row r="5" ht="43" customHeight="1">
      <x:c r="A5" s="11" t="str">
        <x:v>FUNCTIONS</x:v>
      </x:c>
      <x:c r="B5" s="11" t="str">
        <x:v>Requirements
(PM, P, SA)</x:v>
      </x:c>
      <x:c r="C5" s="11" t="str">
        <x:v>Design
(P, AP, SA)</x:v>
      </x:c>
      <x:c r="D5" s="11" t="str">
        <x:v>Development
(P, AP)</x:v>
      </x:c>
      <x:c r="E5" s="11" t="str">
        <x:v>Testing
(PM, P)</x:v>
      </x:c>
      <x:c r="F5" s="11" t="str">
        <x:v>Deployment
(PM, P, AP)</x:v>
      </x:c>
      <x:c r="G5" s="11" t="str">
        <x:v>Review
(PM, P, SA)</x:v>
      </x:c>
      <x:c r="I5" s="30" t="str">
        <x:v>ESTIMATE BASIS</x:v>
      </x:c>
      <x:c r="J5" s="30"/>
      <x:c r="K5" s="30"/>
      <x:c r="L5" s="30"/>
      <x:c r="M5" s="30"/>
      <x:c r="N5" s="30"/>
    </x:row>
    <x:row r="6" ht="25" customHeight="1">
      <x:c r="A6" s="18" t="str">
        <x:v>INPUT: (Data Sources)</x:v>
      </x:c>
      <x:c r="B6" s="20"/>
      <x:c r="C6" s="20"/>
      <x:c r="D6" s="20"/>
      <x:c r="E6" s="20"/>
      <x:c r="F6" s="20"/>
      <x:c r="G6" s="20"/>
      <x:c r="I6" s="31" t="str">
        <x:v>All values are proposed man-day estimates. Following the continuation PNG, 1 = one person-day and 2 = two person-days. Numeric estimates are editable.</x:v>
      </x:c>
      <x:c r="J6" s="31"/>
      <x:c r="K6" s="31"/>
      <x:c r="L6" s="31"/>
      <x:c r="M6" s="31"/>
      <x:c r="N6" s="31"/>
    </x:row>
    <x:row r="7" ht="25" customHeight="1">
      <x:c r="A7" s="13" t="str">
        <x:v>User Login, Roles and Password Changes</x:v>
      </x:c>
      <x:c r="B7" s="15" t="n">
        <x:v>1</x:v>
      </x:c>
      <x:c r="C7" s="15" t="n">
        <x:v>1</x:v>
      </x:c>
      <x:c r="D7" s="15" t="n">
        <x:v>1</x:v>
      </x:c>
      <x:c r="E7" s="15" t="n">
        <x:v>1</x:v>
      </x:c>
      <x:c r="F7" s="15" t="n">
        <x:v>1</x:v>
      </x:c>
      <x:c r="G7" s="15" t="n">
        <x:v>1</x:v>
      </x:c>
      <x:c r="I7" s="31"/>
      <x:c r="J7" s="31"/>
      <x:c r="K7" s="31"/>
      <x:c r="L7" s="31"/>
      <x:c r="M7" s="31"/>
      <x:c r="N7" s="31"/>
    </x:row>
    <x:row r="8" ht="25" customHeight="1">
      <x:c r="A8" s="13" t="str">
        <x:v>Admin-Mediated Patient Registration</x:v>
      </x:c>
      <x:c r="B8" s="15" t="n">
        <x:v>1</x:v>
      </x:c>
      <x:c r="C8" s="15" t="n">
        <x:v>1</x:v>
      </x:c>
      <x:c r="D8" s="15" t="n">
        <x:v>2</x:v>
      </x:c>
      <x:c r="E8" s="15" t="n">
        <x:v>1</x:v>
      </x:c>
      <x:c r="F8" s="15" t="n">
        <x:v>1</x:v>
      </x:c>
      <x:c r="G8" s="15" t="n">
        <x:v>1</x:v>
      </x:c>
      <x:c r="I8" s="31"/>
      <x:c r="J8" s="31"/>
      <x:c r="K8" s="31"/>
      <x:c r="L8" s="31"/>
      <x:c r="M8" s="31"/>
      <x:c r="N8" s="31"/>
    </x:row>
    <x:row r="9" ht="25" customHeight="1">
      <x:c r="A9" s="13" t="str">
        <x:v>Patient Profile and Account Status Management</x:v>
      </x:c>
      <x:c r="B9" s="15" t="n">
        <x:v>1</x:v>
      </x:c>
      <x:c r="C9" s="15" t="n">
        <x:v>1</x:v>
      </x:c>
      <x:c r="D9" s="15" t="n">
        <x:v>1</x:v>
      </x:c>
      <x:c r="E9" s="15" t="n">
        <x:v>1</x:v>
      </x:c>
      <x:c r="F9" s="15" t="n">
        <x:v>1</x:v>
      </x:c>
      <x:c r="G9" s="15" t="n">
        <x:v>1</x:v>
      </x:c>
      <x:c r="I9" s="31" t="str">
        <x:v>The six phase columns follow the reference. Person-days measure combined work effort, not elapsed calendar days. Phase role labels identify responsibility and do not multiply the numeric estimates.</x:v>
      </x:c>
      <x:c r="J9" s="31"/>
      <x:c r="K9" s="31"/>
      <x:c r="L9" s="31"/>
      <x:c r="M9" s="31"/>
      <x:c r="N9" s="31"/>
    </x:row>
    <x:row r="10" ht="25" customHeight="1">
      <x:c r="A10" s="13" t="str">
        <x:v>Staff and Doctor Account Management</x:v>
      </x:c>
      <x:c r="B10" s="15" t="n">
        <x:v>1</x:v>
      </x:c>
      <x:c r="C10" s="15" t="n">
        <x:v>1</x:v>
      </x:c>
      <x:c r="D10" s="15" t="n">
        <x:v>1</x:v>
      </x:c>
      <x:c r="E10" s="15" t="n">
        <x:v>1</x:v>
      </x:c>
      <x:c r="F10" s="15" t="n">
        <x:v>1</x:v>
      </x:c>
      <x:c r="G10" s="15" t="n">
        <x:v>1</x:v>
      </x:c>
      <x:c r="I10" s="31"/>
      <x:c r="J10" s="31"/>
      <x:c r="K10" s="31"/>
      <x:c r="L10" s="31"/>
      <x:c r="M10" s="31"/>
      <x:c r="N10" s="31"/>
    </x:row>
    <x:row r="11" ht="25" customHeight="1">
      <x:c r="A11" s="13" t="str">
        <x:v>Walk-In Patient Registration</x:v>
      </x:c>
      <x:c r="B11" s="15" t="n">
        <x:v>1</x:v>
      </x:c>
      <x:c r="C11" s="15" t="n">
        <x:v>1</x:v>
      </x:c>
      <x:c r="D11" s="15" t="n">
        <x:v>2</x:v>
      </x:c>
      <x:c r="E11" s="15" t="n">
        <x:v>1</x:v>
      </x:c>
      <x:c r="F11" s="15" t="n">
        <x:v>1</x:v>
      </x:c>
      <x:c r="G11" s="15" t="n">
        <x:v>1</x:v>
      </x:c>
      <x:c r="I11" s="31"/>
      <x:c r="J11" s="31"/>
      <x:c r="K11" s="31"/>
      <x:c r="L11" s="31"/>
      <x:c r="M11" s="31"/>
      <x:c r="N11" s="31"/>
    </x:row>
    <x:row r="12" ht="25" customHeight="1">
      <x:c r="A12" s="13" t="str">
        <x:v>Appointment Booking and Status Updates</x:v>
      </x:c>
      <x:c r="B12" s="15" t="n">
        <x:v>1</x:v>
      </x:c>
      <x:c r="C12" s="15" t="n">
        <x:v>1</x:v>
      </x:c>
      <x:c r="D12" s="15" t="n">
        <x:v>2</x:v>
      </x:c>
      <x:c r="E12" s="15" t="n">
        <x:v>1</x:v>
      </x:c>
      <x:c r="F12" s="15" t="n">
        <x:v>1</x:v>
      </x:c>
      <x:c r="G12" s="15" t="n">
        <x:v>1</x:v>
      </x:c>
      <x:c r="I12" s="31" t="str">
        <x:v>Totals add inputs, outputs, data stores, screen layouts and interface estimates, following the supplied template. This is a phase-effort estimate; its total is not a formal IFPUG function point count.</x:v>
      </x:c>
      <x:c r="J12" s="31"/>
      <x:c r="K12" s="31"/>
      <x:c r="L12" s="31"/>
      <x:c r="M12" s="31"/>
      <x:c r="N12" s="31"/>
    </x:row>
    <x:row r="13" ht="25" customHeight="1">
      <x:c r="A13" s="13" t="str">
        <x:v>Queue Ticket and Service Selection</x:v>
      </x:c>
      <x:c r="B13" s="15" t="n">
        <x:v>1</x:v>
      </x:c>
      <x:c r="C13" s="15" t="n">
        <x:v>1</x:v>
      </x:c>
      <x:c r="D13" s="15" t="n">
        <x:v>2</x:v>
      </x:c>
      <x:c r="E13" s="15" t="n">
        <x:v>1</x:v>
      </x:c>
      <x:c r="F13" s="15" t="n">
        <x:v>1</x:v>
      </x:c>
      <x:c r="G13" s="15" t="n">
        <x:v>1</x:v>
      </x:c>
      <x:c r="I13" s="31"/>
      <x:c r="J13" s="31"/>
      <x:c r="K13" s="31"/>
      <x:c r="L13" s="31"/>
      <x:c r="M13" s="31"/>
      <x:c r="N13" s="31"/>
    </x:row>
    <x:row r="14" ht="25" customHeight="1">
      <x:c r="A14" s="13" t="str">
        <x:v>Priority Queue and Patient Calling</x:v>
      </x:c>
      <x:c r="B14" s="15" t="n">
        <x:v>1</x:v>
      </x:c>
      <x:c r="C14" s="15" t="n">
        <x:v>1</x:v>
      </x:c>
      <x:c r="D14" s="15" t="n">
        <x:v>2</x:v>
      </x:c>
      <x:c r="E14" s="15" t="n">
        <x:v>1</x:v>
      </x:c>
      <x:c r="F14" s="15" t="n">
        <x:v>1</x:v>
      </x:c>
      <x:c r="G14" s="15" t="n">
        <x:v>1</x:v>
      </x:c>
      <x:c r="I14" s="31"/>
      <x:c r="J14" s="31"/>
      <x:c r="K14" s="31"/>
      <x:c r="L14" s="31"/>
      <x:c r="M14" s="31"/>
      <x:c r="N14" s="31"/>
    </x:row>
    <x:row r="15" ht="25" customHeight="1">
      <x:c r="A15" s="13" t="str">
        <x:v>Queue Recall, Skip, Return and Expiry</x:v>
      </x:c>
      <x:c r="B15" s="15" t="n">
        <x:v>1</x:v>
      </x:c>
      <x:c r="C15" s="15" t="n">
        <x:v>1</x:v>
      </x:c>
      <x:c r="D15" s="15" t="n">
        <x:v>2</x:v>
      </x:c>
      <x:c r="E15" s="15" t="n">
        <x:v>1</x:v>
      </x:c>
      <x:c r="F15" s="15" t="n">
        <x:v>1</x:v>
      </x:c>
      <x:c r="G15" s="15" t="n">
        <x:v>1</x:v>
      </x:c>
      <x:c r="I15" s="30" t="str">
        <x:v>ROLE ABBREVIATIONS</x:v>
      </x:c>
      <x:c r="J15" s="30"/>
      <x:c r="K15" s="30"/>
      <x:c r="L15" s="30"/>
      <x:c r="M15" s="30"/>
      <x:c r="N15" s="30"/>
    </x:row>
    <x:row r="16" ht="25" customHeight="1">
      <x:c r="A16" s="13" t="str">
        <x:v>Consultation, Diagnosis and Prescription Entry</x:v>
      </x:c>
      <x:c r="B16" s="15" t="n">
        <x:v>1</x:v>
      </x:c>
      <x:c r="C16" s="15" t="n">
        <x:v>1</x:v>
      </x:c>
      <x:c r="D16" s="15" t="n">
        <x:v>2</x:v>
      </x:c>
      <x:c r="E16" s="15" t="n">
        <x:v>1</x:v>
      </x:c>
      <x:c r="F16" s="15" t="n">
        <x:v>1</x:v>
      </x:c>
      <x:c r="G16" s="15" t="n">
        <x:v>1</x:v>
      </x:c>
      <x:c r="I16" s="31" t="str">
        <x:v>PM = Project Manager. P = Programmer. SA = Systems Analyst. AP = Assistant Programmer (assumed expansion). Role groupings are retained from the reference.</x:v>
      </x:c>
      <x:c r="J16" s="31"/>
      <x:c r="K16" s="31"/>
      <x:c r="L16" s="31"/>
      <x:c r="M16" s="31"/>
      <x:c r="N16" s="31"/>
    </x:row>
    <x:row r="17" ht="25" customHeight="1">
      <x:c r="A17" s="13" t="str">
        <x:v>Doctor Availability and Daily Limits</x:v>
      </x:c>
      <x:c r="B17" s="15" t="n">
        <x:v>1</x:v>
      </x:c>
      <x:c r="C17" s="15" t="n">
        <x:v>1</x:v>
      </x:c>
      <x:c r="D17" s="15" t="n">
        <x:v>1</x:v>
      </x:c>
      <x:c r="E17" s="15" t="n">
        <x:v>1</x:v>
      </x:c>
      <x:c r="F17" s="15" t="n">
        <x:v>1</x:v>
      </x:c>
      <x:c r="G17" s="15" t="n">
        <x:v>1</x:v>
      </x:c>
      <x:c r="I17" s="31"/>
      <x:c r="J17" s="31"/>
      <x:c r="K17" s="31"/>
      <x:c r="L17" s="31"/>
      <x:c r="M17" s="31"/>
      <x:c r="N17" s="31"/>
    </x:row>
    <x:row r="18" ht="25" customHeight="1">
      <x:c r="A18" s="13" t="str">
        <x:v>Daily Dental Service Report Entry</x:v>
      </x:c>
      <x:c r="B18" s="15" t="n">
        <x:v>1</x:v>
      </x:c>
      <x:c r="C18" s="15" t="n">
        <x:v>1</x:v>
      </x:c>
      <x:c r="D18" s="15" t="n">
        <x:v>1</x:v>
      </x:c>
      <x:c r="E18" s="15" t="n">
        <x:v>1</x:v>
      </x:c>
      <x:c r="F18" s="15" t="n">
        <x:v>1</x:v>
      </x:c>
      <x:c r="G18" s="15" t="n">
        <x:v>1</x:v>
      </x:c>
      <x:c r="I18" s="31"/>
      <x:c r="J18" s="31"/>
      <x:c r="K18" s="31"/>
      <x:c r="L18" s="31"/>
      <x:c r="M18" s="31"/>
      <x:c r="N18" s="31"/>
    </x:row>
    <x:row r="19" ht="25" customHeight="1">
      <x:c r="A19" s="13" t="str">
        <x:v>Account Recovery and Patient Record Merging</x:v>
      </x:c>
      <x:c r="B19" s="15" t="n">
        <x:v>1</x:v>
      </x:c>
      <x:c r="C19" s="15" t="n">
        <x:v>1</x:v>
      </x:c>
      <x:c r="D19" s="15" t="n">
        <x:v>2</x:v>
      </x:c>
      <x:c r="E19" s="15" t="n">
        <x:v>1</x:v>
      </x:c>
      <x:c r="F19" s="15" t="n">
        <x:v>1</x:v>
      </x:c>
      <x:c r="G19" s="15" t="n">
        <x:v>1</x:v>
      </x:c>
      <x:c r="I19" s="30" t="str">
        <x:v>SCOPE DETAILS</x:v>
      </x:c>
      <x:c r="J19" s="30"/>
      <x:c r="K19" s="30"/>
      <x:c r="L19" s="30"/>
      <x:c r="M19" s="30"/>
      <x:c r="N19" s="30"/>
    </x:row>
    <x:row r="20" ht="25" customHeight="1">
      <x:c r="A20" s="13" t="str">
        <x:v>SMS Settings and Notification Management</x:v>
      </x:c>
      <x:c r="B20" s="15" t="n">
        <x:v>1</x:v>
      </x:c>
      <x:c r="C20" s="15" t="n">
        <x:v>1</x:v>
      </x:c>
      <x:c r="D20" s="15" t="n">
        <x:v>2</x:v>
      </x:c>
      <x:c r="E20" s="15" t="n">
        <x:v>1</x:v>
      </x:c>
      <x:c r="F20" s="15" t="n">
        <x:v>1</x:v>
      </x:c>
      <x:c r="G20" s="15" t="n">
        <x:v>1</x:v>
      </x:c>
      <x:c r="I20" s="31" t="str">
        <x:v>Patient accounts are created by the admin. Walk-in registration creates or reuses patient records. Queue handling includes priority, calling, recall, skip, return and missed-ticket expiry.</x:v>
      </x:c>
      <x:c r="J20" s="31"/>
      <x:c r="K20" s="31"/>
      <x:c r="L20" s="31"/>
      <x:c r="M20" s="31"/>
      <x:c r="N20" s="31"/>
    </x:row>
    <x:row r="21" ht="25" customHeight="1">
      <x:c r="A21" s="13" t="str">
        <x:v>Historical BOHC Data and Forecast Preparation</x:v>
      </x:c>
      <x:c r="B21" s="15" t="n">
        <x:v>1</x:v>
      </x:c>
      <x:c r="C21" s="15" t="n">
        <x:v>1</x:v>
      </x:c>
      <x:c r="D21" s="15" t="n">
        <x:v>2</x:v>
      </x:c>
      <x:c r="E21" s="15" t="n">
        <x:v>1</x:v>
      </x:c>
      <x:c r="F21" s="15" t="n">
        <x:v>1</x:v>
      </x:c>
      <x:c r="G21" s="15" t="n">
        <x:v>1</x:v>
      </x:c>
      <x:c r="I21" s="31"/>
      <x:c r="J21" s="31"/>
      <x:c r="K21" s="31"/>
      <x:c r="L21" s="31"/>
      <x:c r="M21" s="31"/>
      <x:c r="N21" s="31"/>
    </x:row>
    <x:row r="22" ht="25" customHeight="1">
      <x:c r="A22" s="23" t="str">
        <x:v>Input Subtotal</x:v>
      </x:c>
      <x:c r="B22" s="24" t="n">
        <x:f>SUM(B7:B21)</x:f>
        <x:v>15</x:v>
      </x:c>
      <x:c r="C22" s="24" t="n">
        <x:f>SUM(C7:C21)</x:f>
        <x:v>15</x:v>
      </x:c>
      <x:c r="D22" s="24" t="n">
        <x:f>SUM(D7:D21)</x:f>
        <x:v>25</x:v>
      </x:c>
      <x:c r="E22" s="24" t="n">
        <x:f>SUM(E7:E21)</x:f>
        <x:v>15</x:v>
      </x:c>
      <x:c r="F22" s="24" t="n">
        <x:f>SUM(F7:F21)</x:f>
        <x:v>15</x:v>
      </x:c>
      <x:c r="G22" s="24" t="n">
        <x:f>SUM(G7:G21)</x:f>
        <x:v>15</x:v>
      </x:c>
      <x:c r="I22" s="31"/>
      <x:c r="J22" s="31"/>
      <x:c r="K22" s="31"/>
      <x:c r="L22" s="31"/>
      <x:c r="M22" s="31"/>
      <x:c r="N22" s="31"/>
    </x:row>
    <x:row r="23" ht="25" customHeight="1">
      <x:c r="A23" s="18" t="str">
        <x:v>OUTPUT: (Expected)</x:v>
      </x:c>
      <x:c r="B23" s="20"/>
      <x:c r="C23" s="20"/>
      <x:c r="D23" s="20"/>
      <x:c r="E23" s="20"/>
      <x:c r="F23" s="20"/>
      <x:c r="G23" s="20"/>
      <x:c r="I23" s="31" t="str">
        <x:v>BOHC forecasts are prepared offline and read from CSV files. The project labels synthetic history used in the forecast demonstration. Dental reports support daily entry and monthly reporting.</x:v>
      </x:c>
      <x:c r="J23" s="31"/>
      <x:c r="K23" s="31"/>
      <x:c r="L23" s="31"/>
      <x:c r="M23" s="31"/>
      <x:c r="N23" s="31"/>
    </x:row>
    <x:row r="24" ht="25" customHeight="1">
      <x:c r="A24" s="13" t="str">
        <x:v>Patient Queue Ticket and Live Status</x:v>
      </x:c>
      <x:c r="B24" s="15" t="n">
        <x:v>1</x:v>
      </x:c>
      <x:c r="C24" s="15" t="n">
        <x:v>1</x:v>
      </x:c>
      <x:c r="D24" s="15" t="n">
        <x:v>1</x:v>
      </x:c>
      <x:c r="E24" s="15" t="n">
        <x:v>1</x:v>
      </x:c>
      <x:c r="F24" s="15" t="n">
        <x:v>1</x:v>
      </x:c>
      <x:c r="G24" s="15" t="n">
        <x:v>1</x:v>
      </x:c>
      <x:c r="I24" s="31"/>
      <x:c r="J24" s="31"/>
      <x:c r="K24" s="31"/>
      <x:c r="L24" s="31"/>
      <x:c r="M24" s="31"/>
      <x:c r="N24" s="31"/>
    </x:row>
    <x:row r="25" ht="25" customHeight="1">
      <x:c r="A25" s="13" t="str">
        <x:v>General Queue Monitor and Voice Announcements</x:v>
      </x:c>
      <x:c r="B25" s="15" t="n">
        <x:v>1</x:v>
      </x:c>
      <x:c r="C25" s="15" t="n">
        <x:v>1</x:v>
      </x:c>
      <x:c r="D25" s="15" t="n">
        <x:v>2</x:v>
      </x:c>
      <x:c r="E25" s="15" t="n">
        <x:v>1</x:v>
      </x:c>
      <x:c r="F25" s="15" t="n">
        <x:v>1</x:v>
      </x:c>
      <x:c r="G25" s="15" t="n">
        <x:v>1</x:v>
      </x:c>
      <x:c r="I25" s="31"/>
      <x:c r="J25" s="31"/>
      <x:c r="K25" s="31"/>
      <x:c r="L25" s="31"/>
      <x:c r="M25" s="31"/>
      <x:c r="N25" s="31"/>
    </x:row>
    <x:row r="26" ht="25" customHeight="1">
      <x:c r="A26" s="13" t="str">
        <x:v>Appointment Schedules and History</x:v>
      </x:c>
      <x:c r="B26" s="15" t="n">
        <x:v>1</x:v>
      </x:c>
      <x:c r="C26" s="15" t="n">
        <x:v>1</x:v>
      </x:c>
      <x:c r="D26" s="15" t="n">
        <x:v>1</x:v>
      </x:c>
      <x:c r="E26" s="15" t="n">
        <x:v>1</x:v>
      </x:c>
      <x:c r="F26" s="15" t="n">
        <x:v>1</x:v>
      </x:c>
      <x:c r="G26" s="15" t="n">
        <x:v>1</x:v>
      </x:c>
      <x:c r="I26" s="30" t="str">
        <x:v>SOURCES</x:v>
      </x:c>
      <x:c r="J26" s="30"/>
      <x:c r="K26" s="30"/>
      <x:c r="L26" s="30"/>
      <x:c r="M26" s="30"/>
      <x:c r="N26" s="30"/>
    </x:row>
    <x:row r="27" ht="25" customHeight="1">
      <x:c r="A27" s="13" t="str">
        <x:v>Patient Profiles and Visit History</x:v>
      </x:c>
      <x:c r="B27" s="15" t="n">
        <x:v>1</x:v>
      </x:c>
      <x:c r="C27" s="15" t="n">
        <x:v>1</x:v>
      </x:c>
      <x:c r="D27" s="15" t="n">
        <x:v>1</x:v>
      </x:c>
      <x:c r="E27" s="15" t="n">
        <x:v>1</x:v>
      </x:c>
      <x:c r="F27" s="15" t="n">
        <x:v>1</x:v>
      </x:c>
      <x:c r="G27" s="15" t="n">
        <x:v>1</x:v>
      </x:c>
      <x:c r="I27" s="31" t="str">
        <x:v>Layout: two user-supplied FUNCTION POINT ANALYSIS PNGs. Feature scope: E-KALUSUGAN local project, reviewed 13 October 2026. All estimates are proposed, with no measured effort data supplied.</x:v>
      </x:c>
      <x:c r="J27" s="31"/>
      <x:c r="K27" s="31"/>
      <x:c r="L27" s="31"/>
      <x:c r="M27" s="31"/>
      <x:c r="N27" s="31"/>
    </x:row>
    <x:row r="28" ht="25" customHeight="1">
      <x:c r="A28" s="13" t="str">
        <x:v>SMS Credentials and Queue Alerts</x:v>
      </x:c>
      <x:c r="B28" s="15" t="n">
        <x:v>1</x:v>
      </x:c>
      <x:c r="C28" s="15" t="n">
        <x:v>1</x:v>
      </x:c>
      <x:c r="D28" s="15" t="n">
        <x:v>2</x:v>
      </x:c>
      <x:c r="E28" s="15" t="n">
        <x:v>1</x:v>
      </x:c>
      <x:c r="F28" s="15" t="n">
        <x:v>1</x:v>
      </x:c>
      <x:c r="G28" s="15" t="n">
        <x:v>1</x:v>
      </x:c>
      <x:c r="I28" s="31"/>
      <x:c r="J28" s="31"/>
      <x:c r="K28" s="31"/>
      <x:c r="L28" s="31"/>
      <x:c r="M28" s="31"/>
      <x:c r="N28" s="31"/>
    </x:row>
    <x:row r="29" ht="25" customHeight="1">
      <x:c r="A29" s="13" t="str">
        <x:v>Admin Dashboard Statistics</x:v>
      </x:c>
      <x:c r="B29" s="15" t="n">
        <x:v>1</x:v>
      </x:c>
      <x:c r="C29" s="15" t="n">
        <x:v>1</x:v>
      </x:c>
      <x:c r="D29" s="15" t="n">
        <x:v>1</x:v>
      </x:c>
      <x:c r="E29" s="15" t="n">
        <x:v>1</x:v>
      </x:c>
      <x:c r="F29" s="15" t="n">
        <x:v>1</x:v>
      </x:c>
      <x:c r="G29" s="15" t="n">
        <x:v>1</x:v>
      </x:c>
      <x:c r="I29" s="31"/>
      <x:c r="J29" s="31"/>
      <x:c r="K29" s="31"/>
      <x:c r="L29" s="31"/>
      <x:c r="M29" s="31"/>
      <x:c r="N29" s="31"/>
    </x:row>
    <x:row r="30" ht="25" customHeight="1">
      <x:c r="A30" s="13" t="str">
        <x:v>Doctor Service Analytics</x:v>
      </x:c>
      <x:c r="B30" s="15" t="n">
        <x:v>1</x:v>
      </x:c>
      <x:c r="C30" s="15" t="n">
        <x:v>1</x:v>
      </x:c>
      <x:c r="D30" s="15" t="n">
        <x:v>2</x:v>
      </x:c>
      <x:c r="E30" s="15" t="n">
        <x:v>1</x:v>
      </x:c>
      <x:c r="F30" s="15" t="n">
        <x:v>1</x:v>
      </x:c>
      <x:c r="G30" s="15" t="n">
        <x:v>1</x:v>
      </x:c>
      <x:c r="I30" s="31" t="str">
        <x:v>Account and patient scope: authRoutes.js, adminRoutes.js, patientRoutes.js, patientController.js. Appointment and queue scope: appointmentRoutes.js, queueRoutes.js, Queue.js.</x:v>
      </x:c>
      <x:c r="J30" s="31"/>
      <x:c r="K30" s="31"/>
      <x:c r="L30" s="31"/>
      <x:c r="M30" s="31"/>
      <x:c r="N30" s="31"/>
    </x:row>
    <x:row r="31" ht="25" customHeight="1">
      <x:c r="A31" s="13" t="str">
        <x:v>Daily and Monthly Dental Reports</x:v>
      </x:c>
      <x:c r="B31" s="15" t="n">
        <x:v>1</x:v>
      </x:c>
      <x:c r="C31" s="15" t="n">
        <x:v>1</x:v>
      </x:c>
      <x:c r="D31" s="15" t="n">
        <x:v>2</x:v>
      </x:c>
      <x:c r="E31" s="15" t="n">
        <x:v>1</x:v>
      </x:c>
      <x:c r="F31" s="15" t="n">
        <x:v>1</x:v>
      </x:c>
      <x:c r="G31" s="15" t="n">
        <x:v>1</x:v>
      </x:c>
      <x:c r="I31" s="31"/>
      <x:c r="J31" s="31"/>
      <x:c r="K31" s="31"/>
      <x:c r="L31" s="31"/>
      <x:c r="M31" s="31"/>
      <x:c r="N31" s="31"/>
    </x:row>
    <x:row r="32" ht="25" customHeight="1">
      <x:c r="A32" s="13" t="str">
        <x:v>BOHC Forecast Charts</x:v>
      </x:c>
      <x:c r="B32" s="15" t="n">
        <x:v>1</x:v>
      </x:c>
      <x:c r="C32" s="15" t="n">
        <x:v>1</x:v>
      </x:c>
      <x:c r="D32" s="15" t="n">
        <x:v>2</x:v>
      </x:c>
      <x:c r="E32" s="15" t="n">
        <x:v>1</x:v>
      </x:c>
      <x:c r="F32" s="15" t="n">
        <x:v>1</x:v>
      </x:c>
      <x:c r="G32" s="15" t="n">
        <x:v>1</x:v>
      </x:c>
      <x:c r="I32" s="31"/>
      <x:c r="J32" s="31"/>
      <x:c r="K32" s="31"/>
      <x:c r="L32" s="31"/>
      <x:c r="M32" s="31"/>
      <x:c r="N32" s="31"/>
    </x:row>
    <x:row r="33" ht="25" customHeight="1">
      <x:c r="A33" s="23" t="str">
        <x:v>Output Subtotal</x:v>
      </x:c>
      <x:c r="B33" s="24" t="n">
        <x:f>SUM(B24:B32)</x:f>
        <x:v>9</x:v>
      </x:c>
      <x:c r="C33" s="24" t="n">
        <x:f>SUM(C24:C32)</x:f>
        <x:v>9</x:v>
      </x:c>
      <x:c r="D33" s="24" t="n">
        <x:f>SUM(D24:D32)</x:f>
        <x:v>14</x:v>
      </x:c>
      <x:c r="E33" s="24" t="n">
        <x:f>SUM(E24:E32)</x:f>
        <x:v>9</x:v>
      </x:c>
      <x:c r="F33" s="24" t="n">
        <x:f>SUM(F24:F32)</x:f>
        <x:v>9</x:v>
      </x:c>
      <x:c r="G33" s="24" t="n">
        <x:f>SUM(G24:G32)</x:f>
        <x:v>9</x:v>
      </x:c>
      <x:c r="I33" s="31" t="str">
        <x:v>Clinical, report and forecast scope: doctorRoutes.js, doctorController.js, DoctorAnalyticsTab.jsx, AdminReportsTab.jsx, adminAnalyticsController.js and arima.py.</x:v>
      </x:c>
      <x:c r="J33" s="31"/>
      <x:c r="K33" s="31"/>
      <x:c r="L33" s="31"/>
      <x:c r="M33" s="31"/>
      <x:c r="N33" s="31"/>
    </x:row>
    <x:row r="34" ht="25" customHeight="1">
      <x:c r="A34" s="18" t="str">
        <x:v>FILES: (Tables / Database / CSV)</x:v>
      </x:c>
      <x:c r="B34" s="20"/>
      <x:c r="C34" s="20"/>
      <x:c r="D34" s="20"/>
      <x:c r="E34" s="20"/>
      <x:c r="F34" s="20"/>
      <x:c r="G34" s="20"/>
      <x:c r="I34" s="31"/>
      <x:c r="J34" s="31"/>
      <x:c r="K34" s="31"/>
      <x:c r="L34" s="31"/>
      <x:c r="M34" s="31"/>
      <x:c r="N34" s="31"/>
    </x:row>
    <x:row r="35" ht="25" customHeight="1">
      <x:c r="A35" s="13" t="str">
        <x:v>User Accounts (users)</x:v>
      </x:c>
      <x:c r="B35" s="15" t="n">
        <x:v>1</x:v>
      </x:c>
      <x:c r="C35" s="15" t="n">
        <x:v>1</x:v>
      </x:c>
      <x:c r="D35" s="15" t="n">
        <x:v>1</x:v>
      </x:c>
      <x:c r="E35" s="15" t="n">
        <x:v>1</x:v>
      </x:c>
      <x:c r="F35" s="15" t="n">
        <x:v>1</x:v>
      </x:c>
      <x:c r="G35" s="15" t="n">
        <x:v>1</x:v>
      </x:c>
      <x:c r="I35" s="31"/>
      <x:c r="J35" s="31"/>
      <x:c r="K35" s="31"/>
      <x:c r="L35" s="31"/>
      <x:c r="M35" s="31"/>
      <x:c r="N35" s="31"/>
    </x:row>
    <x:row r="36" ht="25" customHeight="1">
      <x:c r="A36" s="13" t="str">
        <x:v>Patient Records (patients)</x:v>
      </x:c>
      <x:c r="B36" s="15" t="n">
        <x:v>1</x:v>
      </x:c>
      <x:c r="C36" s="15" t="n">
        <x:v>1</x:v>
      </x:c>
      <x:c r="D36" s="15" t="n">
        <x:v>1</x:v>
      </x:c>
      <x:c r="E36" s="15" t="n">
        <x:v>1</x:v>
      </x:c>
      <x:c r="F36" s="15" t="n">
        <x:v>1</x:v>
      </x:c>
      <x:c r="G36" s="15" t="n">
        <x:v>1</x:v>
      </x:c>
      <x:c r="I36" s="31" t="str">
        <x:v>Data stores: User.js, Patient.js, Doctor.js, Staff.js, Appointment.js, Queue.js and doctorController.js. SMS stores and behavior: 005_sms_notifications.sql, smsController.js and smsNotifications.js.</x:v>
      </x:c>
      <x:c r="J36" s="31"/>
      <x:c r="K36" s="31"/>
      <x:c r="L36" s="31"/>
      <x:c r="M36" s="31"/>
      <x:c r="N36" s="31"/>
    </x:row>
    <x:row r="37" ht="25" customHeight="1">
      <x:c r="A37" s="13" t="str">
        <x:v>Staff Records (staff)</x:v>
      </x:c>
      <x:c r="B37" s="15" t="n">
        <x:v>1</x:v>
      </x:c>
      <x:c r="C37" s="15" t="n">
        <x:v>1</x:v>
      </x:c>
      <x:c r="D37" s="15" t="n">
        <x:v>1</x:v>
      </x:c>
      <x:c r="E37" s="15" t="n">
        <x:v>1</x:v>
      </x:c>
      <x:c r="F37" s="15" t="n">
        <x:v>1</x:v>
      </x:c>
      <x:c r="G37" s="15" t="n">
        <x:v>1</x:v>
      </x:c>
      <x:c r="I37" s="31"/>
      <x:c r="J37" s="31"/>
      <x:c r="K37" s="31"/>
      <x:c r="L37" s="31"/>
      <x:c r="M37" s="31"/>
      <x:c r="N37" s="31"/>
    </x:row>
    <x:row r="38" ht="25" customHeight="1">
      <x:c r="A38" s="13" t="str">
        <x:v>Doctor Records (doctors)</x:v>
      </x:c>
      <x:c r="B38" s="15" t="n">
        <x:v>1</x:v>
      </x:c>
      <x:c r="C38" s="15" t="n">
        <x:v>1</x:v>
      </x:c>
      <x:c r="D38" s="15" t="n">
        <x:v>1</x:v>
      </x:c>
      <x:c r="E38" s="15" t="n">
        <x:v>1</x:v>
      </x:c>
      <x:c r="F38" s="15" t="n">
        <x:v>1</x:v>
      </x:c>
      <x:c r="G38" s="15" t="n">
        <x:v>1</x:v>
      </x:c>
      <x:c r="I38" s="31"/>
      <x:c r="J38" s="31"/>
      <x:c r="K38" s="31"/>
      <x:c r="L38" s="31"/>
      <x:c r="M38" s="31"/>
      <x:c r="N38" s="31"/>
    </x:row>
    <x:row r="39" ht="25" customHeight="1">
      <x:c r="A39" s="13" t="str">
        <x:v>Specializations (specializations)</x:v>
      </x:c>
      <x:c r="B39" s="15" t="n">
        <x:v>1</x:v>
      </x:c>
      <x:c r="C39" s="15" t="n">
        <x:v>1</x:v>
      </x:c>
      <x:c r="D39" s="15" t="n">
        <x:v>1</x:v>
      </x:c>
      <x:c r="E39" s="15" t="n">
        <x:v>1</x:v>
      </x:c>
      <x:c r="F39" s="15" t="n">
        <x:v>1</x:v>
      </x:c>
      <x:c r="G39" s="15" t="n">
        <x:v>1</x:v>
      </x:c>
      <x:c r="I39" s="31" t="str">
        <x:v>Method reference: IFPUG Function Point Analysis. Formal FPA measures inputs, outputs, inquiries, internal data and external interface data. https://ifpug.org/ifpug-standards/fpa</x:v>
      </x:c>
      <x:c r="J39" s="31"/>
      <x:c r="K39" s="31"/>
      <x:c r="L39" s="31"/>
      <x:c r="M39" s="31"/>
      <x:c r="N39" s="31"/>
    </x:row>
    <x:row r="40" ht="25" customHeight="1">
      <x:c r="A40" s="13" t="str">
        <x:v>Appointments (appointments)</x:v>
      </x:c>
      <x:c r="B40" s="15" t="n">
        <x:v>1</x:v>
      </x:c>
      <x:c r="C40" s="15" t="n">
        <x:v>1</x:v>
      </x:c>
      <x:c r="D40" s="15" t="n">
        <x:v>1</x:v>
      </x:c>
      <x:c r="E40" s="15" t="n">
        <x:v>1</x:v>
      </x:c>
      <x:c r="F40" s="15" t="n">
        <x:v>1</x:v>
      </x:c>
      <x:c r="G40" s="15" t="n">
        <x:v>1</x:v>
      </x:c>
      <x:c r="I40" s="31"/>
      <x:c r="J40" s="31"/>
      <x:c r="K40" s="31"/>
      <x:c r="L40" s="31"/>
      <x:c r="M40" s="31"/>
      <x:c r="N40" s="31"/>
    </x:row>
    <x:row r="41" ht="25" customHeight="1">
      <x:c r="A41" s="13" t="str">
        <x:v>Queue Tickets (queues)</x:v>
      </x:c>
      <x:c r="B41" s="15" t="n">
        <x:v>1</x:v>
      </x:c>
      <x:c r="C41" s="15" t="n">
        <x:v>1</x:v>
      </x:c>
      <x:c r="D41" s="15" t="n">
        <x:v>1</x:v>
      </x:c>
      <x:c r="E41" s="15" t="n">
        <x:v>1</x:v>
      </x:c>
      <x:c r="F41" s="15" t="n">
        <x:v>1</x:v>
      </x:c>
      <x:c r="G41" s="15" t="n">
        <x:v>1</x:v>
      </x:c>
      <x:c r="I41" s="31"/>
      <x:c r="J41" s="31"/>
      <x:c r="K41" s="31"/>
      <x:c r="L41" s="31"/>
      <x:c r="M41" s="31"/>
      <x:c r="N41" s="31"/>
    </x:row>
    <x:row r="42" ht="25" customHeight="1">
      <x:c r="A42" s="13" t="str">
        <x:v>Queue Number Sequences (queue_sequences)</x:v>
      </x:c>
      <x:c r="B42" s="15" t="n">
        <x:v>1</x:v>
      </x:c>
      <x:c r="C42" s="15" t="n">
        <x:v>1</x:v>
      </x:c>
      <x:c r="D42" s="15" t="n">
        <x:v>1</x:v>
      </x:c>
      <x:c r="E42" s="15" t="n">
        <x:v>1</x:v>
      </x:c>
      <x:c r="F42" s="15" t="n">
        <x:v>1</x:v>
      </x:c>
      <x:c r="G42" s="15" t="n">
        <x:v>1</x:v>
      </x:c>
      <x:c r="I42" s="29"/>
      <x:c r="J42" s="29"/>
      <x:c r="K42" s="29"/>
      <x:c r="L42" s="29"/>
      <x:c r="M42" s="29"/>
      <x:c r="N42" s="29"/>
    </x:row>
    <x:row r="43" ht="25" customHeight="1">
      <x:c r="A43" s="13" t="str">
        <x:v>Consultations (consultations)</x:v>
      </x:c>
      <x:c r="B43" s="15" t="n">
        <x:v>1</x:v>
      </x:c>
      <x:c r="C43" s="15" t="n">
        <x:v>1</x:v>
      </x:c>
      <x:c r="D43" s="15" t="n">
        <x:v>1</x:v>
      </x:c>
      <x:c r="E43" s="15" t="n">
        <x:v>1</x:v>
      </x:c>
      <x:c r="F43" s="15" t="n">
        <x:v>1</x:v>
      </x:c>
      <x:c r="G43" s="15" t="n">
        <x:v>1</x:v>
      </x:c>
      <x:c r="I43" s="30" t="str">
        <x:v>CONTINUATION SOURCES</x:v>
      </x:c>
      <x:c r="J43" s="30"/>
      <x:c r="K43" s="30"/>
      <x:c r="L43" s="30"/>
      <x:c r="M43" s="30"/>
      <x:c r="N43" s="30"/>
    </x:row>
    <x:row r="44" ht="25" customHeight="1">
      <x:c r="A44" s="13" t="str">
        <x:v>Prescriptions (prescriptions)</x:v>
      </x:c>
      <x:c r="B44" s="15" t="n">
        <x:v>1</x:v>
      </x:c>
      <x:c r="C44" s="15" t="n">
        <x:v>1</x:v>
      </x:c>
      <x:c r="D44" s="15" t="n">
        <x:v>1</x:v>
      </x:c>
      <x:c r="E44" s="15" t="n">
        <x:v>1</x:v>
      </x:c>
      <x:c r="F44" s="15" t="n">
        <x:v>1</x:v>
      </x:c>
      <x:c r="G44" s="15" t="n">
        <x:v>1</x:v>
      </x:c>
      <x:c r="I44" s="56" t="str">
        <x:v>Screen scope: App.jsx, PatientDashboard.jsx, StaffDashboard.jsx, DoctorDashboard.jsx, AdminDashboard.jsx, StaffPatientProfile.jsx and their dashboard forms and tabs.</x:v>
      </x:c>
      <x:c r="J44" s="56"/>
      <x:c r="K44" s="56"/>
      <x:c r="L44" s="56"/>
      <x:c r="M44" s="56"/>
      <x:c r="N44" s="56"/>
    </x:row>
    <x:row r="45" ht="25" customHeight="1">
      <x:c r="A45" s="13" t="str">
        <x:v>Doctor Daily Settings (daily_doctor_settings)</x:v>
      </x:c>
      <x:c r="B45" s="15" t="n">
        <x:v>1</x:v>
      </x:c>
      <x:c r="C45" s="15" t="n">
        <x:v>1</x:v>
      </x:c>
      <x:c r="D45" s="15" t="n">
        <x:v>1</x:v>
      </x:c>
      <x:c r="E45" s="15" t="n">
        <x:v>1</x:v>
      </x:c>
      <x:c r="F45" s="15" t="n">
        <x:v>1</x:v>
      </x:c>
      <x:c r="G45" s="15" t="n">
        <x:v>1</x:v>
      </x:c>
      <x:c r="I45" s="56"/>
      <x:c r="J45" s="56"/>
      <x:c r="K45" s="56"/>
      <x:c r="L45" s="56"/>
      <x:c r="M45" s="56"/>
      <x:c r="N45" s="56"/>
    </x:row>
    <x:row r="46" ht="25" customHeight="1">
      <x:c r="A46" s="13" t="str">
        <x:v>Daily Dental Reports (doctor_daily_reports)</x:v>
      </x:c>
      <x:c r="B46" s="15" t="n">
        <x:v>1</x:v>
      </x:c>
      <x:c r="C46" s="15" t="n">
        <x:v>1</x:v>
      </x:c>
      <x:c r="D46" s="15" t="n">
        <x:v>1</x:v>
      </x:c>
      <x:c r="E46" s="15" t="n">
        <x:v>1</x:v>
      </x:c>
      <x:c r="F46" s="15" t="n">
        <x:v>1</x:v>
      </x:c>
      <x:c r="G46" s="15" t="n">
        <x:v>1</x:v>
      </x:c>
      <x:c r="I46" s="56"/>
      <x:c r="J46" s="56"/>
      <x:c r="K46" s="56"/>
      <x:c r="L46" s="56"/>
      <x:c r="M46" s="56"/>
      <x:c r="N46" s="56"/>
    </x:row>
    <x:row r="47" ht="25" customHeight="1">
      <x:c r="A47" s="13" t="str">
        <x:v>Patient Activity Audit (patient_audit)</x:v>
      </x:c>
      <x:c r="B47" s="15" t="n">
        <x:v>1</x:v>
      </x:c>
      <x:c r="C47" s="15" t="n">
        <x:v>1</x:v>
      </x:c>
      <x:c r="D47" s="15" t="n">
        <x:v>1</x:v>
      </x:c>
      <x:c r="E47" s="15" t="n">
        <x:v>1</x:v>
      </x:c>
      <x:c r="F47" s="15" t="n">
        <x:v>1</x:v>
      </x:c>
      <x:c r="G47" s="15" t="n">
        <x:v>1</x:v>
      </x:c>
      <x:c r="I47" s="56" t="str">
        <x:v>Interface scope: db.js (database), api.js (web API), sms.js (SMS gateway), adminAnalyticsController.js (CSV data), and PatientHomeTab.jsx (clinic location map).</x:v>
      </x:c>
      <x:c r="J47" s="56"/>
      <x:c r="K47" s="56"/>
      <x:c r="L47" s="56"/>
      <x:c r="M47" s="56"/>
      <x:c r="N47" s="56"/>
    </x:row>
    <x:row r="48" ht="25" customHeight="1">
      <x:c r="A48" s="13" t="str">
        <x:v>SMS Settings (sms_settings)</x:v>
      </x:c>
      <x:c r="B48" s="15" t="n">
        <x:v>1</x:v>
      </x:c>
      <x:c r="C48" s="15" t="n">
        <x:v>1</x:v>
      </x:c>
      <x:c r="D48" s="15" t="n">
        <x:v>1</x:v>
      </x:c>
      <x:c r="E48" s="15" t="n">
        <x:v>1</x:v>
      </x:c>
      <x:c r="F48" s="15" t="n">
        <x:v>1</x:v>
      </x:c>
      <x:c r="G48" s="15" t="n">
        <x:v>1</x:v>
      </x:c>
      <x:c r="I48" s="56"/>
      <x:c r="J48" s="56"/>
      <x:c r="K48" s="56"/>
      <x:c r="L48" s="56"/>
      <x:c r="M48" s="56"/>
      <x:c r="N48" s="56"/>
    </x:row>
    <x:row r="49" ht="25" customHeight="1">
      <x:c r="A49" s="13" t="str">
        <x:v>SMS Delivery Jobs (sms_jobs)</x:v>
      </x:c>
      <x:c r="B49" s="15" t="n">
        <x:v>1</x:v>
      </x:c>
      <x:c r="C49" s="15" t="n">
        <x:v>1</x:v>
      </x:c>
      <x:c r="D49" s="15" t="n">
        <x:v>1</x:v>
      </x:c>
      <x:c r="E49" s="15" t="n">
        <x:v>1</x:v>
      </x:c>
      <x:c r="F49" s="15" t="n">
        <x:v>1</x:v>
      </x:c>
      <x:c r="G49" s="15" t="n">
        <x:v>1</x:v>
      </x:c>
      <x:c r="I49" s="56"/>
      <x:c r="J49" s="56"/>
      <x:c r="K49" s="56"/>
      <x:c r="L49" s="56"/>
      <x:c r="M49" s="56"/>
      <x:c r="N49" s="56"/>
    </x:row>
    <x:row r="50" ht="25" customHeight="1">
      <x:c r="A50" s="13" t="str">
        <x:v>SMS Password Audit (sms_password_audit)</x:v>
      </x:c>
      <x:c r="B50" s="15" t="n">
        <x:v>1</x:v>
      </x:c>
      <x:c r="C50" s="15" t="n">
        <x:v>1</x:v>
      </x:c>
      <x:c r="D50" s="15" t="n">
        <x:v>1</x:v>
      </x:c>
      <x:c r="E50" s="15" t="n">
        <x:v>1</x:v>
      </x:c>
      <x:c r="F50" s="15" t="n">
        <x:v>1</x:v>
      </x:c>
      <x:c r="G50" s="15" t="n">
        <x:v>1</x:v>
      </x:c>
      <x:c r="I50" s="56" t="str">
        <x:v>The reference total of 187 man-days belongs to the original example. The E-KALUSUGAN total is calculated from this workbook's scope and proposed estimates.</x:v>
      </x:c>
      <x:c r="J50" s="56"/>
      <x:c r="K50" s="56"/>
      <x:c r="L50" s="56"/>
      <x:c r="M50" s="56"/>
      <x:c r="N50" s="56"/>
    </x:row>
    <x:row r="51" ht="25" customHeight="1">
      <x:c r="A51" s="13" t="str">
        <x:v>BOHC Historical and Forecast Data (CSV files)</x:v>
      </x:c>
      <x:c r="B51" s="15" t="n">
        <x:v>1</x:v>
      </x:c>
      <x:c r="C51" s="15" t="n">
        <x:v>1</x:v>
      </x:c>
      <x:c r="D51" s="15" t="n">
        <x:v>1</x:v>
      </x:c>
      <x:c r="E51" s="15" t="n">
        <x:v>1</x:v>
      </x:c>
      <x:c r="F51" s="15" t="n">
        <x:v>1</x:v>
      </x:c>
      <x:c r="G51" s="15" t="n">
        <x:v>1</x:v>
      </x:c>
      <x:c r="I51" s="56"/>
      <x:c r="J51" s="56"/>
      <x:c r="K51" s="56"/>
      <x:c r="L51" s="56"/>
      <x:c r="M51" s="56"/>
      <x:c r="N51" s="56"/>
    </x:row>
    <x:row r="52" ht="25" customHeight="1">
      <x:c r="A52" s="23" t="str">
        <x:v>Files Subtotal</x:v>
      </x:c>
      <x:c r="B52" s="24" t="n">
        <x:f>SUM(B35:B51)</x:f>
        <x:v>17</x:v>
      </x:c>
      <x:c r="C52" s="24" t="n">
        <x:f>SUM(C35:C51)</x:f>
        <x:v>17</x:v>
      </x:c>
      <x:c r="D52" s="24" t="n">
        <x:f>SUM(D35:D51)</x:f>
        <x:v>17</x:v>
      </x:c>
      <x:c r="E52" s="24" t="n">
        <x:f>SUM(E35:E51)</x:f>
        <x:v>17</x:v>
      </x:c>
      <x:c r="F52" s="24" t="n">
        <x:f>SUM(F35:F51)</x:f>
        <x:v>17</x:v>
      </x:c>
      <x:c r="G52" s="24" t="n">
        <x:f>SUM(G35:G51)</x:f>
        <x:v>17</x:v>
      </x:c>
      <x:c r="I52" s="56"/>
      <x:c r="J52" s="56"/>
      <x:c r="K52" s="56"/>
      <x:c r="L52" s="56"/>
      <x:c r="M52" s="56"/>
      <x:c r="N52" s="56"/>
    </x:row>
    <x:row r="53" ht="40" customHeight="1">
      <x:c r="A53" s="43" t="str">
        <x:v>SCREEN LAYOUT:
(Screen Forms/Pages)</x:v>
      </x:c>
      <x:c r="B53" s="45"/>
      <x:c r="C53" s="45"/>
      <x:c r="D53" s="45"/>
      <x:c r="E53" s="45"/>
      <x:c r="F53" s="45"/>
      <x:c r="G53" s="45"/>
    </x:row>
    <x:row r="54" ht="25" customHeight="1">
      <x:c r="A54" s="36" t="str">
        <x:v>Public Landing Page</x:v>
      </x:c>
      <x:c r="B54" s="38" t="n">
        <x:v>1</x:v>
      </x:c>
      <x:c r="C54" s="38" t="n">
        <x:v>1</x:v>
      </x:c>
      <x:c r="D54" s="38" t="n">
        <x:v>1</x:v>
      </x:c>
      <x:c r="E54" s="38" t="n">
        <x:v>1</x:v>
      </x:c>
      <x:c r="F54" s="38" t="n">
        <x:v>1</x:v>
      </x:c>
      <x:c r="G54" s="38" t="n">
        <x:v>1</x:v>
      </x:c>
    </x:row>
    <x:row r="55" ht="25" customHeight="1">
      <x:c r="A55" s="36" t="str">
        <x:v>Login Page</x:v>
      </x:c>
      <x:c r="B55" s="38" t="n">
        <x:v>1</x:v>
      </x:c>
      <x:c r="C55" s="38" t="n">
        <x:v>1</x:v>
      </x:c>
      <x:c r="D55" s="38" t="n">
        <x:v>1</x:v>
      </x:c>
      <x:c r="E55" s="38" t="n">
        <x:v>1</x:v>
      </x:c>
      <x:c r="F55" s="38" t="n">
        <x:v>1</x:v>
      </x:c>
      <x:c r="G55" s="38" t="n">
        <x:v>1</x:v>
      </x:c>
    </x:row>
    <x:row r="56" ht="25" customHeight="1">
      <x:c r="A56" s="36" t="str">
        <x:v>First-Login Password Change Page</x:v>
      </x:c>
      <x:c r="B56" s="38" t="n">
        <x:v>1</x:v>
      </x:c>
      <x:c r="C56" s="38" t="n">
        <x:v>1</x:v>
      </x:c>
      <x:c r="D56" s="38" t="n">
        <x:v>1</x:v>
      </x:c>
      <x:c r="E56" s="38" t="n">
        <x:v>1</x:v>
      </x:c>
      <x:c r="F56" s="38" t="n">
        <x:v>1</x:v>
      </x:c>
      <x:c r="G56" s="38" t="n">
        <x:v>1</x:v>
      </x:c>
    </x:row>
    <x:row r="57" ht="25" customHeight="1">
      <x:c r="A57" s="36" t="str">
        <x:v>Patient Dashboard</x:v>
      </x:c>
      <x:c r="B57" s="38" t="n">
        <x:v>1</x:v>
      </x:c>
      <x:c r="C57" s="38" t="n">
        <x:v>1</x:v>
      </x:c>
      <x:c r="D57" s="38" t="n">
        <x:v>1</x:v>
      </x:c>
      <x:c r="E57" s="38" t="n">
        <x:v>1</x:v>
      </x:c>
      <x:c r="F57" s="38" t="n">
        <x:v>1</x:v>
      </x:c>
      <x:c r="G57" s="38" t="n">
        <x:v>1</x:v>
      </x:c>
    </x:row>
    <x:row r="58" ht="25" customHeight="1">
      <x:c r="A58" s="36" t="str">
        <x:v>Staff Dashboard</x:v>
      </x:c>
      <x:c r="B58" s="38" t="n">
        <x:v>1</x:v>
      </x:c>
      <x:c r="C58" s="38" t="n">
        <x:v>1</x:v>
      </x:c>
      <x:c r="D58" s="38" t="n">
        <x:v>1</x:v>
      </x:c>
      <x:c r="E58" s="38" t="n">
        <x:v>1</x:v>
      </x:c>
      <x:c r="F58" s="38" t="n">
        <x:v>1</x:v>
      </x:c>
      <x:c r="G58" s="38" t="n">
        <x:v>1</x:v>
      </x:c>
    </x:row>
    <x:row r="59" ht="25" customHeight="1">
      <x:c r="A59" s="36" t="str">
        <x:v>Doctor Dashboard</x:v>
      </x:c>
      <x:c r="B59" s="38" t="n">
        <x:v>1</x:v>
      </x:c>
      <x:c r="C59" s="38" t="n">
        <x:v>1</x:v>
      </x:c>
      <x:c r="D59" s="38" t="n">
        <x:v>1</x:v>
      </x:c>
      <x:c r="E59" s="38" t="n">
        <x:v>1</x:v>
      </x:c>
      <x:c r="F59" s="38" t="n">
        <x:v>1</x:v>
      </x:c>
      <x:c r="G59" s="38" t="n">
        <x:v>1</x:v>
      </x:c>
    </x:row>
    <x:row r="60" ht="25" customHeight="1">
      <x:c r="A60" s="36" t="str">
        <x:v>Admin Dashboard</x:v>
      </x:c>
      <x:c r="B60" s="38" t="n">
        <x:v>1</x:v>
      </x:c>
      <x:c r="C60" s="38" t="n">
        <x:v>1</x:v>
      </x:c>
      <x:c r="D60" s="38" t="n">
        <x:v>1</x:v>
      </x:c>
      <x:c r="E60" s="38" t="n">
        <x:v>1</x:v>
      </x:c>
      <x:c r="F60" s="38" t="n">
        <x:v>1</x:v>
      </x:c>
      <x:c r="G60" s="38" t="n">
        <x:v>1</x:v>
      </x:c>
    </x:row>
    <x:row r="61" ht="25" customHeight="1">
      <x:c r="A61" s="36" t="str">
        <x:v>Patient Registration and Account Management</x:v>
      </x:c>
      <x:c r="B61" s="38" t="n">
        <x:v>1</x:v>
      </x:c>
      <x:c r="C61" s="38" t="n">
        <x:v>1</x:v>
      </x:c>
      <x:c r="D61" s="38" t="n">
        <x:v>1</x:v>
      </x:c>
      <x:c r="E61" s="38" t="n">
        <x:v>1</x:v>
      </x:c>
      <x:c r="F61" s="38" t="n">
        <x:v>1</x:v>
      </x:c>
      <x:c r="G61" s="38" t="n">
        <x:v>1</x:v>
      </x:c>
    </x:row>
    <x:row r="62" ht="25" customHeight="1">
      <x:c r="A62" s="36" t="str">
        <x:v>Staff and Doctor Account Management Forms</x:v>
      </x:c>
      <x:c r="B62" s="38" t="n">
        <x:v>1</x:v>
      </x:c>
      <x:c r="C62" s="38" t="n">
        <x:v>1</x:v>
      </x:c>
      <x:c r="D62" s="38" t="n">
        <x:v>1</x:v>
      </x:c>
      <x:c r="E62" s="38" t="n">
        <x:v>1</x:v>
      </x:c>
      <x:c r="F62" s="38" t="n">
        <x:v>1</x:v>
      </x:c>
      <x:c r="G62" s="38" t="n">
        <x:v>1</x:v>
      </x:c>
    </x:row>
    <x:row r="63" ht="25" customHeight="1">
      <x:c r="A63" s="36" t="str">
        <x:v>Walk-In Patient Registration Form</x:v>
      </x:c>
      <x:c r="B63" s="38" t="n">
        <x:v>1</x:v>
      </x:c>
      <x:c r="C63" s="38" t="n">
        <x:v>1</x:v>
      </x:c>
      <x:c r="D63" s="38" t="n">
        <x:v>1</x:v>
      </x:c>
      <x:c r="E63" s="38" t="n">
        <x:v>1</x:v>
      </x:c>
      <x:c r="F63" s="38" t="n">
        <x:v>1</x:v>
      </x:c>
      <x:c r="G63" s="38" t="n">
        <x:v>1</x:v>
      </x:c>
    </x:row>
    <x:row r="64" ht="25" customHeight="1">
      <x:c r="A64" s="36" t="str">
        <x:v>Patient Profile and Visit History Page</x:v>
      </x:c>
      <x:c r="B64" s="38" t="n">
        <x:v>1</x:v>
      </x:c>
      <x:c r="C64" s="38" t="n">
        <x:v>1</x:v>
      </x:c>
      <x:c r="D64" s="38" t="n">
        <x:v>1</x:v>
      </x:c>
      <x:c r="E64" s="38" t="n">
        <x:v>1</x:v>
      </x:c>
      <x:c r="F64" s="38" t="n">
        <x:v>1</x:v>
      </x:c>
      <x:c r="G64" s="38" t="n">
        <x:v>1</x:v>
      </x:c>
    </x:row>
    <x:row r="65" ht="25" customHeight="1">
      <x:c r="A65" s="36" t="str">
        <x:v>Patient Queue Request and Status Screens</x:v>
      </x:c>
      <x:c r="B65" s="38" t="n">
        <x:v>1</x:v>
      </x:c>
      <x:c r="C65" s="38" t="n">
        <x:v>1</x:v>
      </x:c>
      <x:c r="D65" s="38" t="n">
        <x:v>1</x:v>
      </x:c>
      <x:c r="E65" s="38" t="n">
        <x:v>1</x:v>
      </x:c>
      <x:c r="F65" s="38" t="n">
        <x:v>1</x:v>
      </x:c>
      <x:c r="G65" s="38" t="n">
        <x:v>1</x:v>
      </x:c>
    </x:row>
    <x:row r="66" ht="25" customHeight="1">
      <x:c r="A66" s="36" t="str">
        <x:v>Appointment Schedule and History Screens</x:v>
      </x:c>
      <x:c r="B66" s="38" t="n">
        <x:v>1</x:v>
      </x:c>
      <x:c r="C66" s="38" t="n">
        <x:v>1</x:v>
      </x:c>
      <x:c r="D66" s="38" t="n">
        <x:v>1</x:v>
      </x:c>
      <x:c r="E66" s="38" t="n">
        <x:v>1</x:v>
      </x:c>
      <x:c r="F66" s="38" t="n">
        <x:v>1</x:v>
      </x:c>
      <x:c r="G66" s="38" t="n">
        <x:v>1</x:v>
      </x:c>
    </x:row>
    <x:row r="67" ht="25" customHeight="1">
      <x:c r="A67" s="36" t="str">
        <x:v>General Queue Monitor and Announcements</x:v>
      </x:c>
      <x:c r="B67" s="38" t="n">
        <x:v>1</x:v>
      </x:c>
      <x:c r="C67" s="38" t="n">
        <x:v>1</x:v>
      </x:c>
      <x:c r="D67" s="38" t="n">
        <x:v>1</x:v>
      </x:c>
      <x:c r="E67" s="38" t="n">
        <x:v>1</x:v>
      </x:c>
      <x:c r="F67" s="38" t="n">
        <x:v>1</x:v>
      </x:c>
      <x:c r="G67" s="38" t="n">
        <x:v>1</x:v>
      </x:c>
    </x:row>
    <x:row r="68" ht="25" customHeight="1">
      <x:c r="A68" s="36" t="str">
        <x:v>Consultation and Prescription Entry Form</x:v>
      </x:c>
      <x:c r="B68" s="38" t="n">
        <x:v>1</x:v>
      </x:c>
      <x:c r="C68" s="38" t="n">
        <x:v>1</x:v>
      </x:c>
      <x:c r="D68" s="38" t="n">
        <x:v>1</x:v>
      </x:c>
      <x:c r="E68" s="38" t="n">
        <x:v>1</x:v>
      </x:c>
      <x:c r="F68" s="38" t="n">
        <x:v>1</x:v>
      </x:c>
      <x:c r="G68" s="38" t="n">
        <x:v>1</x:v>
      </x:c>
    </x:row>
    <x:row r="69" ht="25" customHeight="1">
      <x:c r="A69" s="36" t="str">
        <x:v>Doctor Availability and Daily Limit Controls</x:v>
      </x:c>
      <x:c r="B69" s="38" t="n">
        <x:v>1</x:v>
      </x:c>
      <x:c r="C69" s="38" t="n">
        <x:v>1</x:v>
      </x:c>
      <x:c r="D69" s="38" t="n">
        <x:v>1</x:v>
      </x:c>
      <x:c r="E69" s="38" t="n">
        <x:v>1</x:v>
      </x:c>
      <x:c r="F69" s="38" t="n">
        <x:v>1</x:v>
      </x:c>
      <x:c r="G69" s="38" t="n">
        <x:v>1</x:v>
      </x:c>
    </x:row>
    <x:row r="70" ht="25" customHeight="1">
      <x:c r="A70" s="36" t="str">
        <x:v>Dental Report Entry and Doctor Analytics</x:v>
      </x:c>
      <x:c r="B70" s="38" t="n">
        <x:v>1</x:v>
      </x:c>
      <x:c r="C70" s="38" t="n">
        <x:v>1</x:v>
      </x:c>
      <x:c r="D70" s="38" t="n">
        <x:v>1</x:v>
      </x:c>
      <x:c r="E70" s="38" t="n">
        <x:v>1</x:v>
      </x:c>
      <x:c r="F70" s="38" t="n">
        <x:v>1</x:v>
      </x:c>
      <x:c r="G70" s="38" t="n">
        <x:v>1</x:v>
      </x:c>
    </x:row>
    <x:row r="71" ht="25" customHeight="1">
      <x:c r="A71" s="36" t="str">
        <x:v>Admin Statistics and BOHC Forecast Screens</x:v>
      </x:c>
      <x:c r="B71" s="38" t="n">
        <x:v>1</x:v>
      </x:c>
      <x:c r="C71" s="38" t="n">
        <x:v>1</x:v>
      </x:c>
      <x:c r="D71" s="38" t="n">
        <x:v>1</x:v>
      </x:c>
      <x:c r="E71" s="38" t="n">
        <x:v>1</x:v>
      </x:c>
      <x:c r="F71" s="38" t="n">
        <x:v>1</x:v>
      </x:c>
      <x:c r="G71" s="38" t="n">
        <x:v>1</x:v>
      </x:c>
    </x:row>
    <x:row r="72" ht="25" customHeight="1">
      <x:c r="A72" s="36" t="str">
        <x:v>SMS Notifications and Settings Screen</x:v>
      </x:c>
      <x:c r="B72" s="38" t="n">
        <x:v>1</x:v>
      </x:c>
      <x:c r="C72" s="38" t="n">
        <x:v>1</x:v>
      </x:c>
      <x:c r="D72" s="38" t="n">
        <x:v>1</x:v>
      </x:c>
      <x:c r="E72" s="38" t="n">
        <x:v>1</x:v>
      </x:c>
      <x:c r="F72" s="38" t="n">
        <x:v>1</x:v>
      </x:c>
      <x:c r="G72" s="38" t="n">
        <x:v>1</x:v>
      </x:c>
    </x:row>
    <x:row r="73" ht="25" customHeight="1">
      <x:c r="A73" s="36" t="str">
        <x:v>Patient Search, Account Recovery and Merge</x:v>
      </x:c>
      <x:c r="B73" s="38" t="n">
        <x:v>1</x:v>
      </x:c>
      <x:c r="C73" s="38" t="n">
        <x:v>1</x:v>
      </x:c>
      <x:c r="D73" s="38" t="n">
        <x:v>1</x:v>
      </x:c>
      <x:c r="E73" s="38" t="n">
        <x:v>1</x:v>
      </x:c>
      <x:c r="F73" s="38" t="n">
        <x:v>1</x:v>
      </x:c>
      <x:c r="G73" s="38" t="n">
        <x:v>1</x:v>
      </x:c>
    </x:row>
    <x:row r="74" ht="25" customHeight="1">
      <x:c r="A74" s="36" t="str">
        <x:v>Clinic Location Map</x:v>
      </x:c>
      <x:c r="B74" s="38" t="n">
        <x:v>1</x:v>
      </x:c>
      <x:c r="C74" s="38" t="n">
        <x:v>1</x:v>
      </x:c>
      <x:c r="D74" s="38" t="n">
        <x:v>1</x:v>
      </x:c>
      <x:c r="E74" s="38" t="n">
        <x:v>1</x:v>
      </x:c>
      <x:c r="F74" s="38" t="n">
        <x:v>1</x:v>
      </x:c>
      <x:c r="G74" s="38" t="n">
        <x:v>1</x:v>
      </x:c>
    </x:row>
    <x:row r="75" ht="25" customHeight="1">
      <x:c r="A75" s="48" t="str">
        <x:v>Screen Layout Subtotal</x:v>
      </x:c>
      <x:c r="B75" s="49" t="n">
        <x:f>SUM(B54:B74)</x:f>
        <x:v>21</x:v>
      </x:c>
      <x:c r="C75" s="49" t="n">
        <x:f>SUM(C54:C74)</x:f>
        <x:v>21</x:v>
      </x:c>
      <x:c r="D75" s="49" t="n">
        <x:f>SUM(D54:D74)</x:f>
        <x:v>21</x:v>
      </x:c>
      <x:c r="E75" s="49" t="n">
        <x:f>SUM(E54:E74)</x:f>
        <x:v>21</x:v>
      </x:c>
      <x:c r="F75" s="49" t="n">
        <x:f>SUM(F54:F74)</x:f>
        <x:v>21</x:v>
      </x:c>
      <x:c r="G75" s="49" t="n">
        <x:f>SUM(G54:G74)</x:f>
        <x:v>21</x:v>
      </x:c>
    </x:row>
    <x:row r="76" ht="40" customHeight="1">
      <x:c r="A76" s="43" t="str">
        <x:v>INTERFACING AND DATA
COMMUNICATION:</x:v>
      </x:c>
      <x:c r="B76" s="45"/>
      <x:c r="C76" s="45"/>
      <x:c r="D76" s="45"/>
      <x:c r="E76" s="45"/>
      <x:c r="F76" s="45"/>
      <x:c r="G76" s="45"/>
    </x:row>
    <x:row r="77" ht="25" customHeight="1">
      <x:c r="A77" s="36" t="str">
        <x:v>Database / Server Management</x:v>
      </x:c>
      <x:c r="B77" s="38" t="n">
        <x:v>1</x:v>
      </x:c>
      <x:c r="C77" s="38" t="n">
        <x:v>1</x:v>
      </x:c>
      <x:c r="D77" s="38" t="n">
        <x:v>1</x:v>
      </x:c>
      <x:c r="E77" s="38" t="n">
        <x:v>1</x:v>
      </x:c>
      <x:c r="F77" s="38" t="n">
        <x:v>1</x:v>
      </x:c>
      <x:c r="G77" s="38" t="n">
        <x:v>1</x:v>
      </x:c>
    </x:row>
    <x:row r="78" ht="25" customHeight="1">
      <x:c r="A78" s="36" t="str">
        <x:v>Web Application / Backend API Communication</x:v>
      </x:c>
      <x:c r="B78" s="38" t="n">
        <x:v>1</x:v>
      </x:c>
      <x:c r="C78" s="38" t="n">
        <x:v>1</x:v>
      </x:c>
      <x:c r="D78" s="38" t="n">
        <x:v>1</x:v>
      </x:c>
      <x:c r="E78" s="38" t="n">
        <x:v>1</x:v>
      </x:c>
      <x:c r="F78" s="38" t="n">
        <x:v>1</x:v>
      </x:c>
      <x:c r="G78" s="38" t="n">
        <x:v>1</x:v>
      </x:c>
    </x:row>
    <x:row r="79" ht="25" customHeight="1">
      <x:c r="A79" s="36" t="str">
        <x:v>SMS Gateway Integration</x:v>
      </x:c>
      <x:c r="B79" s="38" t="n">
        <x:v>1</x:v>
      </x:c>
      <x:c r="C79" s="38" t="n">
        <x:v>1</x:v>
      </x:c>
      <x:c r="D79" s="38" t="n">
        <x:v>2</x:v>
      </x:c>
      <x:c r="E79" s="38" t="n">
        <x:v>1</x:v>
      </x:c>
      <x:c r="F79" s="38" t="n">
        <x:v>1</x:v>
      </x:c>
      <x:c r="G79" s="38" t="n">
        <x:v>1</x:v>
      </x:c>
    </x:row>
    <x:row r="80" ht="25" customHeight="1">
      <x:c r="A80" s="36" t="str">
        <x:v>BOHC Historical / Forecast CSV Data Exchange</x:v>
      </x:c>
      <x:c r="B80" s="38" t="n">
        <x:v>1</x:v>
      </x:c>
      <x:c r="C80" s="38" t="n">
        <x:v>1</x:v>
      </x:c>
      <x:c r="D80" s="38" t="n">
        <x:v>1</x:v>
      </x:c>
      <x:c r="E80" s="38" t="n">
        <x:v>1</x:v>
      </x:c>
      <x:c r="F80" s="38" t="n">
        <x:v>1</x:v>
      </x:c>
      <x:c r="G80" s="38" t="n">
        <x:v>1</x:v>
      </x:c>
    </x:row>
    <x:row r="81" ht="25" customHeight="1">
      <x:c r="A81" s="36" t="str">
        <x:v>Clinic Location Map Integration</x:v>
      </x:c>
      <x:c r="B81" s="38" t="n">
        <x:v>1</x:v>
      </x:c>
      <x:c r="C81" s="38" t="n">
        <x:v>1</x:v>
      </x:c>
      <x:c r="D81" s="38" t="n">
        <x:v>1</x:v>
      </x:c>
      <x:c r="E81" s="38" t="n">
        <x:v>1</x:v>
      </x:c>
      <x:c r="F81" s="38" t="n">
        <x:v>1</x:v>
      </x:c>
      <x:c r="G81" s="38" t="n">
        <x:v>1</x:v>
      </x:c>
    </x:row>
    <x:row r="82" ht="25" customHeight="1">
      <x:c r="A82" s="48" t="str">
        <x:v>Interfacing and Data Communication Subtotal</x:v>
      </x:c>
      <x:c r="B82" s="49" t="n">
        <x:f>SUM(B77:B81)</x:f>
        <x:v>5</x:v>
      </x:c>
      <x:c r="C82" s="49" t="n">
        <x:f>SUM(C77:C81)</x:f>
        <x:v>5</x:v>
      </x:c>
      <x:c r="D82" s="49" t="n">
        <x:f>SUM(D77:D81)</x:f>
        <x:v>6</x:v>
      </x:c>
      <x:c r="E82" s="49" t="n">
        <x:f>SUM(E77:E81)</x:f>
        <x:v>5</x:v>
      </x:c>
      <x:c r="F82" s="49" t="n">
        <x:f>SUM(F77:F81)</x:f>
        <x:v>5</x:v>
      </x:c>
      <x:c r="G82" s="49" t="n">
        <x:f>SUM(G77:G81)</x:f>
        <x:v>5</x:v>
      </x:c>
    </x:row>
    <x:row r="83" ht="42" customHeight="1">
      <x:c r="A83" s="54" t="str">
        <x:f>"TOTAL MAN-DAY"&amp;CHAR(10)&amp;SUM(B83:G83)&amp;" DAYS"</x:f>
        <x:v>TOTAL MAN-DAY
418 DAYS</x:v>
      </x:c>
      <x:c r="B83" s="55" t="n">
        <x:f>SUM(B22,B33,B52,B75,B82)</x:f>
        <x:v>67</x:v>
      </x:c>
      <x:c r="C83" s="55" t="n">
        <x:f>SUM(C22,C33,C52,C75,C82)</x:f>
        <x:v>67</x:v>
      </x:c>
      <x:c r="D83" s="55" t="n">
        <x:f>SUM(D22,D33,D52,D75,D82)</x:f>
        <x:v>83</x:v>
      </x:c>
      <x:c r="E83" s="55" t="n">
        <x:f>SUM(E22,E33,E52,E75,E82)</x:f>
        <x:v>67</x:v>
      </x:c>
      <x:c r="F83" s="55" t="n">
        <x:f>SUM(F22,F33,F52,F75,F82)</x:f>
        <x:v>67</x:v>
      </x:c>
      <x:c r="G83" s="55" t="n">
        <x:f>SUM(G22,G33,G52,G75,G82)</x:f>
        <x:v>67</x:v>
      </x:c>
    </x:row>
  </x:sheetData>
  <x:mergeCells>
    <x:mergeCell ref="A1:G1"/>
    <x:mergeCell ref="A2:G2"/>
    <x:mergeCell ref="A3:G3"/>
    <x:mergeCell ref="A6:G6"/>
    <x:mergeCell ref="A23:G23"/>
    <x:mergeCell ref="A34:G34"/>
    <x:mergeCell ref="I5:N5"/>
    <x:mergeCell ref="I6:N8"/>
    <x:mergeCell ref="I9:N11"/>
    <x:mergeCell ref="I12:N14"/>
    <x:mergeCell ref="I15:N15"/>
    <x:mergeCell ref="I16:N18"/>
    <x:mergeCell ref="I19:N19"/>
    <x:mergeCell ref="I20:N22"/>
    <x:mergeCell ref="I23:N25"/>
    <x:mergeCell ref="I26:N26"/>
    <x:mergeCell ref="I27:N29"/>
    <x:mergeCell ref="I30:N32"/>
    <x:mergeCell ref="I33:N35"/>
    <x:mergeCell ref="I36:N38"/>
    <x:mergeCell ref="I39:N41"/>
    <x:mergeCell ref="A53:G53"/>
    <x:mergeCell ref="A76:G76"/>
    <x:mergeCell ref="I43:N43"/>
    <x:mergeCell ref="I44:N46"/>
    <x:mergeCell ref="I47:N49"/>
    <x:mergeCell ref="I50:N52"/>
  </x:mergeCells>
  <x:dataValidations count="5">
    <x:dataValidation type="whole" operator="between" sqref="B7:G21">
      <x:formula1>1</x:formula1>
      <x:formula2>2</x:formula2>
    </x:dataValidation>
    <x:dataValidation type="whole" operator="between" sqref="B24:G32">
      <x:formula1>1</x:formula1>
      <x:formula2>2</x:formula2>
    </x:dataValidation>
    <x:dataValidation type="whole" operator="between" sqref="B35:G51">
      <x:formula1>1</x:formula1>
      <x:formula2>2</x:formula2>
    </x:dataValidation>
    <x:dataValidation type="whole" operator="between" sqref="B54:G74">
      <x:formula1>1</x:formula1>
      <x:formula2>2</x:formula2>
    </x:dataValidation>
    <x:dataValidation type="whole" operator="between" sqref="B77:G81">
      <x:formula1>1</x:formula1>
      <x:formula2>2</x:formula2>
    </x:dataValidation>
  </x:dataValidations>
  <x:pageMargins left="0.7" right="0.7" top="0.75" bottom="0.75" header="0.3" footer="0.3"/>
</x:worksheet>
</file>